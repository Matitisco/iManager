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hones Usados" sheetId="1" r:id="rId5"/>
    <sheet state="visible" name="iPhones Nuevos" sheetId="2" r:id="rId6"/>
    <sheet state="visible" name="OUTLET" sheetId="3" r:id="rId7"/>
  </sheets>
  <definedNames/>
  <calcPr/>
</workbook>
</file>

<file path=xl/sharedStrings.xml><?xml version="1.0" encoding="utf-8"?>
<sst xmlns="http://schemas.openxmlformats.org/spreadsheetml/2006/main" count="124" uniqueCount="74">
  <si>
    <t>EQUIPOS OUTLET</t>
  </si>
  <si>
    <t>STOCK DE EQUIPOS NUEVOS                                      ENTREGA INMEDIATA</t>
  </si>
  <si>
    <t>STOCK DE EQUIPOS USADOS                                 ENTREGA INMEDIATA</t>
  </si>
  <si>
    <t>GARANTIA OFICIAL APPLE POR 12 MESES!</t>
  </si>
  <si>
    <t>GARANTIA POR 90 DIAS!!!!!</t>
  </si>
  <si>
    <r>
      <rPr>
        <rFont val="Arial"/>
        <b/>
        <color theme="1"/>
        <sz val="9.0"/>
      </rPr>
      <t xml:space="preserve">TU COMPRA INCLUYE DE REGALO CABLE + FUNDA + VIDRIO + CABEZAL 20W +                                            TRASPASO DE INFO + ENVÍO Y GARANTÍA DE SOFTWARE POR 90 DÍAS. </t>
    </r>
    <r>
      <rPr>
        <rFont val="Arial"/>
        <b/>
        <color rgb="FFFF0000"/>
        <sz val="9.0"/>
      </rPr>
      <t xml:space="preserve">TODO ESTO GRATIS!!! </t>
    </r>
  </si>
  <si>
    <r>
      <rPr>
        <rFont val="Arial"/>
        <b/>
        <color theme="1"/>
        <sz val="9.0"/>
      </rPr>
      <t xml:space="preserve">TU COMPRA INCLUYE DE REGALO CABLE + FUNDA + VIDRIO + CABEZAL 20W +                                        TRASPASO DE INFO + ENVÍO Y GARANTÍA DE SOFTWARE POR 90 DÍAS. </t>
    </r>
    <r>
      <rPr>
        <rFont val="Arial"/>
        <b/>
        <color rgb="FFFF0000"/>
        <sz val="9.0"/>
      </rPr>
      <t xml:space="preserve">TODO ESTO GRATIS!!! </t>
    </r>
  </si>
  <si>
    <r>
      <rPr>
        <rFont val="Arial"/>
        <b/>
        <i/>
        <color theme="1"/>
        <sz val="9.0"/>
      </rPr>
      <t xml:space="preserve">CON TU COMPRA TE LLEVAS DE REGALO  FUNDA A ELECCION + VIDRIO TEMPLADO + CABEZAL 20W + TRASPASO DE INFO + ENVIO A TODO EL PAIS. </t>
    </r>
    <r>
      <rPr>
        <rFont val="Arial"/>
        <b/>
        <i/>
        <color rgb="FFFF0000"/>
        <sz val="9.0"/>
      </rPr>
      <t>TODO ESTO GRATIS!!!</t>
    </r>
  </si>
  <si>
    <t>COTIZACION EN PESOS SEGUN PRECIO DE VENTA DEL DOLAR BLUE:</t>
  </si>
  <si>
    <t>PRECIO DE PROMOCIÓN ABONANDO SOLO EN EFECTIVO!</t>
  </si>
  <si>
    <t>Modelo</t>
  </si>
  <si>
    <t>Batería</t>
  </si>
  <si>
    <t>Color</t>
  </si>
  <si>
    <t>PRECIO USD</t>
  </si>
  <si>
    <t>PRECIO ARS</t>
  </si>
  <si>
    <t>12 64 GB</t>
  </si>
  <si>
    <t>15 128 GB</t>
  </si>
  <si>
    <t>Black - Blue</t>
  </si>
  <si>
    <t>Midnight</t>
  </si>
  <si>
    <t>13 Pro Max 128 GB</t>
  </si>
  <si>
    <t>13 mini 128 GB</t>
  </si>
  <si>
    <t>Green</t>
  </si>
  <si>
    <t>17 256 GB</t>
  </si>
  <si>
    <t>Sage</t>
  </si>
  <si>
    <t>17 Pro 256 GB</t>
  </si>
  <si>
    <t>Bateria/Cámara/ Pantalla reempazada</t>
  </si>
  <si>
    <t>Blue</t>
  </si>
  <si>
    <t>,</t>
  </si>
  <si>
    <t>15 Pro 128 GB</t>
  </si>
  <si>
    <t>17 Pro Max 256 GB</t>
  </si>
  <si>
    <t>13 mini 256 GB</t>
  </si>
  <si>
    <t>Orange</t>
  </si>
  <si>
    <t>18 Pro 256 GB</t>
  </si>
  <si>
    <t>Black</t>
  </si>
  <si>
    <t>13 128 GB</t>
  </si>
  <si>
    <t>Pantalla y batería reemplazada/ Mancha minima en camara selfie</t>
  </si>
  <si>
    <t>83% - 84%</t>
  </si>
  <si>
    <t>18 Pro Max 256 GB</t>
  </si>
  <si>
    <t>Starlight</t>
  </si>
  <si>
    <t>OFERTA</t>
  </si>
  <si>
    <t>IPADS</t>
  </si>
  <si>
    <t>15 Pro Max 256 GB</t>
  </si>
  <si>
    <t>13 Pro 128 GB</t>
  </si>
  <si>
    <t>Grafito</t>
  </si>
  <si>
    <t>iPad A16 256 GB</t>
  </si>
  <si>
    <t>Detalles estéticos</t>
  </si>
  <si>
    <t>Silver</t>
  </si>
  <si>
    <t>13 Pro 256 GB</t>
  </si>
  <si>
    <t>OTROS ACCESORIOS ORIGIANALES</t>
  </si>
  <si>
    <t>Natural</t>
  </si>
  <si>
    <t>14 128 GB</t>
  </si>
  <si>
    <t>AirPods Pro 3</t>
  </si>
  <si>
    <t>Detalles estéticos/ Pantalla y batería reemplazada</t>
  </si>
  <si>
    <t>Starlight - Lila</t>
  </si>
  <si>
    <t>16 Pro 128 GB</t>
  </si>
  <si>
    <t xml:space="preserve"> Natural</t>
  </si>
  <si>
    <t>Adaptador 20 W</t>
  </si>
  <si>
    <t>14 Pro 128 GB</t>
  </si>
  <si>
    <t>Rayoncitos en pantalla</t>
  </si>
  <si>
    <t>16 Pro Max 256 GB</t>
  </si>
  <si>
    <t>20% OFF ABONANDO EFECITVO</t>
  </si>
  <si>
    <t>Manchita mínima en pantalla</t>
  </si>
  <si>
    <t>PRECIO NO INCLUYE IVA</t>
  </si>
  <si>
    <t>AirTag Pack x4</t>
  </si>
  <si>
    <t xml:space="preserve">  </t>
  </si>
  <si>
    <t>PRECIO NO INCLUYE IVA.</t>
  </si>
  <si>
    <t>16 128 GB</t>
  </si>
  <si>
    <t>White</t>
  </si>
  <si>
    <t>16 Plus 256 GB</t>
  </si>
  <si>
    <t>90% - 91%</t>
  </si>
  <si>
    <t>Black - Pink</t>
  </si>
  <si>
    <t>91% 92%</t>
  </si>
  <si>
    <t>Desert</t>
  </si>
  <si>
    <t>$1.497.600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</si>
</sst>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&quot;$&quot;#,##0.000"/>
  </numFmts>
  <fonts count="27">
    <font>
      <sz val="10.0"/>
      <color rgb="FF000000"/>
      <name val="Arial"/>
      <scheme val="minor"/>
    </font>
    <font>
      <b/>
      <sz val="18.0"/>
      <color rgb="FF999999"/>
      <name val="Arial"/>
    </font>
    <font>
      <b/>
      <sz val="18.0"/>
      <color rgb="FF666666"/>
      <name val="Arial"/>
    </font>
    <font/>
    <font>
      <color theme="1"/>
      <name val="Arial"/>
    </font>
    <font>
      <b/>
      <sz val="15.0"/>
      <color theme="1"/>
      <name val="Arial"/>
    </font>
    <font>
      <b/>
      <sz val="16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b/>
      <i/>
      <sz val="9.0"/>
      <color theme="1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</font>
    <font>
      <b/>
      <i/>
      <color theme="1"/>
      <name val="Arial"/>
    </font>
    <font>
      <b/>
      <i/>
      <sz val="10.0"/>
      <color theme="1"/>
      <name val="Arial"/>
    </font>
    <font>
      <b/>
      <color rgb="FF000000"/>
      <name val="Arial"/>
    </font>
    <font>
      <sz val="15.0"/>
      <color rgb="FFFFFFFF"/>
      <name val="Arial"/>
    </font>
    <font>
      <color theme="1"/>
      <name val="Arial"/>
      <scheme val="minor"/>
    </font>
    <font>
      <b/>
      <sz val="11.0"/>
      <color rgb="FFFF0000"/>
      <name val="Arial"/>
    </font>
    <font>
      <b/>
      <i/>
      <sz val="13.0"/>
      <color theme="1"/>
      <name val="Arial"/>
    </font>
    <font>
      <b/>
      <sz val="10.0"/>
      <color theme="1"/>
      <name val="Arial"/>
    </font>
    <font>
      <b/>
      <color rgb="FFFFFFFF"/>
      <name val="Arial"/>
    </font>
    <font>
      <b/>
      <sz val="13.0"/>
      <color rgb="FFFFFFFF"/>
      <name val="Arial"/>
      <scheme val="minor"/>
    </font>
    <font>
      <b/>
      <sz val="13.0"/>
      <color rgb="FFFFFFFF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3" fontId="5" numFmtId="0" xfId="0" applyAlignment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shrinkToFit="0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0" fillId="3" fontId="9" numFmtId="0" xfId="0" applyAlignment="1" applyFill="1" applyFont="1">
      <alignment readingOrder="0" vertical="center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/>
    </xf>
    <xf borderId="4" fillId="5" fontId="10" numFmtId="164" xfId="0" applyAlignment="1" applyBorder="1" applyFill="1" applyFont="1" applyNumberFormat="1">
      <alignment horizontal="center" readingOrder="0"/>
    </xf>
    <xf borderId="1" fillId="6" fontId="11" numFmtId="0" xfId="0" applyAlignment="1" applyBorder="1" applyFill="1" applyFont="1">
      <alignment horizontal="center"/>
    </xf>
    <xf borderId="1" fillId="6" fontId="11" numFmtId="0" xfId="0" applyAlignment="1" applyBorder="1" applyFill="1" applyFont="1">
      <alignment horizontal="center" vertical="bottom"/>
    </xf>
    <xf borderId="4" fillId="5" fontId="12" numFmtId="0" xfId="0" applyAlignment="1" applyBorder="1" applyFill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4" fillId="5" fontId="12" numFmtId="9" xfId="0" applyAlignment="1" applyBorder="1" applyFill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4" fillId="3" fontId="12" numFmtId="0" xfId="0" applyAlignment="1" applyBorder="1" applyFill="1" applyFont="1">
      <alignment horizontal="center" readingOrder="0" vertical="center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4" fillId="5" fontId="4" numFmtId="0" xfId="0" applyAlignment="1" applyBorder="1" applyFill="1" applyFont="1">
      <alignment horizontal="center" vertical="bottom"/>
    </xf>
    <xf borderId="5" fillId="3" fontId="4" numFmtId="9" xfId="0" applyAlignment="1" applyBorder="1" applyFill="1" applyFont="1" applyNumberFormat="1">
      <alignment horizontal="center" readingOrder="0" vertical="bottom"/>
    </xf>
    <xf borderId="5" fillId="5" fontId="4" numFmtId="0" xfId="0" applyAlignment="1" applyBorder="1" applyFill="1" applyFont="1">
      <alignment horizontal="center" readingOrder="0" vertical="bottom"/>
    </xf>
    <xf borderId="4" fillId="5" fontId="4" numFmtId="0" xfId="0" applyAlignment="1" applyBorder="1" applyFill="1" applyFont="1">
      <alignment horizontal="center" readingOrder="0" vertical="bottom"/>
    </xf>
    <xf borderId="1" fillId="2" fontId="10" numFmtId="0" xfId="0" applyAlignment="1" applyBorder="1" applyFill="1" applyFont="1">
      <alignment horizontal="center" readingOrder="0" shrinkToFit="0" vertical="center" wrapText="1"/>
    </xf>
    <xf borderId="4" fillId="2" fontId="14" numFmtId="165" xfId="0" applyAlignment="1" applyBorder="1" applyFill="1" applyFont="1" applyNumberFormat="1">
      <alignment horizontal="center" readingOrder="0" vertical="bottom"/>
    </xf>
    <xf borderId="4" fillId="2" fontId="15" numFmtId="165" xfId="0" applyAlignment="1" applyBorder="1" applyFill="1" applyFont="1" applyNumberFormat="1">
      <alignment horizontal="center" readingOrder="0" vertical="bottom"/>
    </xf>
    <xf borderId="6" fillId="5" fontId="16" numFmtId="0" xfId="0" applyBorder="1" applyFill="1" applyFont="1"/>
    <xf borderId="7" fillId="5" fontId="16" numFmtId="0" xfId="0" applyBorder="1" applyFill="1" applyFont="1"/>
    <xf borderId="4" fillId="2" fontId="17" numFmtId="166" xfId="0" applyAlignment="1" applyBorder="1" applyFill="1" applyFont="1" applyNumberFormat="1">
      <alignment horizontal="center" readingOrder="0" vertical="center"/>
    </xf>
    <xf borderId="0" fillId="3" fontId="18" numFmtId="0" xfId="0" applyAlignment="1" applyFill="1" applyFont="1">
      <alignment horizontal="center" vertical="bottom"/>
    </xf>
    <xf borderId="4" fillId="3" fontId="4" numFmtId="9" xfId="0" applyAlignment="1" applyBorder="1" applyFill="1" applyFont="1" applyNumberFormat="1">
      <alignment horizontal="center" readingOrder="0" vertical="center"/>
    </xf>
    <xf borderId="4" fillId="0" fontId="19" numFmtId="0" xfId="0" applyAlignment="1" applyBorder="1" applyFont="1">
      <alignment horizontal="center" readingOrder="0"/>
    </xf>
    <xf borderId="1" fillId="2" fontId="17" numFmtId="165" xfId="0" applyAlignment="1" applyBorder="1" applyFill="1" applyFont="1" applyNumberFormat="1">
      <alignment horizontal="center" readingOrder="0" vertical="center"/>
    </xf>
    <xf borderId="4" fillId="2" fontId="17" numFmtId="165" xfId="0" applyAlignment="1" applyBorder="1" applyFill="1" applyFont="1" applyNumberFormat="1">
      <alignment horizontal="center" readingOrder="0" vertical="center"/>
    </xf>
    <xf borderId="6" fillId="5" fontId="16" numFmtId="0" xfId="0" applyAlignment="1" applyBorder="1" applyFill="1" applyFont="1">
      <alignment readingOrder="0"/>
    </xf>
    <xf borderId="7" fillId="0" fontId="3" numFmtId="0" xfId="0" applyBorder="1" applyFont="1"/>
    <xf borderId="5" fillId="0" fontId="3" numFmtId="0" xfId="0" applyBorder="1" applyFont="1"/>
    <xf borderId="0" fillId="0" fontId="19" numFmtId="0" xfId="0" applyAlignment="1" applyFont="1">
      <alignment readingOrder="0"/>
    </xf>
    <xf borderId="1" fillId="2" fontId="15" numFmtId="165" xfId="0" applyAlignment="1" applyBorder="1" applyFill="1" applyFont="1" applyNumberFormat="1">
      <alignment horizontal="center" readingOrder="0" vertical="bottom"/>
    </xf>
    <xf borderId="8" fillId="3" fontId="11" numFmtId="0" xfId="0" applyAlignment="1" applyBorder="1" applyFill="1" applyFont="1">
      <alignment horizontal="center" readingOrder="0" vertical="bottom"/>
    </xf>
    <xf borderId="0" fillId="3" fontId="20" numFmtId="0" xfId="0" applyAlignment="1" applyFill="1" applyFont="1">
      <alignment horizontal="center" readingOrder="0" vertical="bottom"/>
    </xf>
    <xf borderId="5" fillId="3" fontId="4" numFmtId="0" xfId="0" applyAlignment="1" applyBorder="1" applyFill="1" applyFont="1">
      <alignment horizontal="center" readingOrder="0" vertical="bottom"/>
    </xf>
    <xf borderId="1" fillId="5" fontId="9" numFmtId="0" xfId="0" applyAlignment="1" applyBorder="1" applyFill="1" applyFont="1">
      <alignment readingOrder="0" vertical="bottom"/>
    </xf>
    <xf borderId="4" fillId="6" fontId="11" numFmtId="0" xfId="0" applyAlignment="1" applyBorder="1" applyFill="1" applyFont="1">
      <alignment horizontal="center" readingOrder="0" vertical="bottom"/>
    </xf>
    <xf borderId="1" fillId="7" fontId="21" numFmtId="0" xfId="0" applyAlignment="1" applyBorder="1" applyFill="1" applyFont="1">
      <alignment horizontal="center" readingOrder="0" vertical="bottom"/>
    </xf>
    <xf borderId="4" fillId="5" fontId="7" numFmtId="0" xfId="0" applyAlignment="1" applyBorder="1" applyFill="1" applyFont="1">
      <alignment horizontal="center" vertical="bottom"/>
    </xf>
    <xf borderId="8" fillId="5" fontId="15" numFmtId="0" xfId="0" applyAlignment="1" applyBorder="1" applyFill="1" applyFont="1">
      <alignment vertical="bottom"/>
    </xf>
    <xf borderId="9" fillId="0" fontId="3" numFmtId="0" xfId="0" applyBorder="1" applyFont="1"/>
    <xf borderId="4" fillId="2" fontId="22" numFmtId="165" xfId="0" applyAlignment="1" applyBorder="1" applyFill="1" applyFont="1" applyNumberFormat="1">
      <alignment horizontal="center" readingOrder="0" vertical="bottom"/>
    </xf>
    <xf borderId="5" fillId="5" fontId="4" numFmtId="0" xfId="0" applyAlignment="1" applyBorder="1" applyFill="1" applyFont="1">
      <alignment horizontal="center" vertical="bottom"/>
    </xf>
    <xf borderId="5" fillId="5" fontId="4" numFmtId="9" xfId="0" applyAlignment="1" applyBorder="1" applyFill="1" applyFont="1" applyNumberFormat="1">
      <alignment horizontal="center" readingOrder="0" vertical="bottom"/>
    </xf>
    <xf borderId="1" fillId="5" fontId="16" numFmtId="0" xfId="0" applyAlignment="1" applyBorder="1" applyFill="1" applyFont="1">
      <alignment readingOrder="0" vertical="bottom"/>
    </xf>
    <xf borderId="0" fillId="3" fontId="14" numFmtId="0" xfId="0" applyAlignment="1" applyFill="1" applyFont="1">
      <alignment readingOrder="0" vertical="center"/>
    </xf>
    <xf borderId="8" fillId="5" fontId="16" numFmtId="0" xfId="0" applyAlignment="1" applyBorder="1" applyFill="1" applyFont="1">
      <alignment readingOrder="0" vertical="bottom"/>
    </xf>
    <xf borderId="8" fillId="0" fontId="4" numFmtId="0" xfId="0" applyAlignment="1" applyBorder="1" applyFont="1">
      <alignment horizontal="center" readingOrder="0" vertical="bottom"/>
    </xf>
    <xf borderId="9" fillId="0" fontId="3" numFmtId="0" xfId="0" applyBorder="1" applyFont="1"/>
    <xf borderId="10" fillId="2" fontId="15" numFmtId="165" xfId="0" applyAlignment="1" applyBorder="1" applyFill="1" applyFont="1" applyNumberFormat="1">
      <alignment horizontal="center" readingOrder="0" vertical="bottom"/>
    </xf>
    <xf borderId="1" fillId="5" fontId="16" numFmtId="0" xfId="0" applyAlignment="1" applyBorder="1" applyFill="1" applyFont="1">
      <alignment vertical="bottom"/>
    </xf>
    <xf borderId="11" fillId="0" fontId="4" numFmtId="0" xfId="0" applyAlignment="1" applyBorder="1" applyFont="1">
      <alignment horizontal="center" vertical="bottom"/>
    </xf>
    <xf borderId="11" fillId="5" fontId="15" numFmtId="0" xfId="0" applyAlignment="1" applyBorder="1" applyFill="1" applyFont="1">
      <alignment vertical="bottom"/>
    </xf>
    <xf borderId="12" fillId="0" fontId="3" numFmtId="0" xfId="0" applyBorder="1" applyFont="1"/>
    <xf borderId="12" fillId="0" fontId="3" numFmtId="0" xfId="0" applyBorder="1" applyFont="1"/>
    <xf borderId="13" fillId="2" fontId="15" numFmtId="165" xfId="0" applyAlignment="1" applyBorder="1" applyFill="1" applyFont="1" applyNumberFormat="1">
      <alignment horizontal="center" readingOrder="0" vertical="bottom"/>
    </xf>
    <xf borderId="1" fillId="6" fontId="11" numFmtId="0" xfId="0" applyAlignment="1" applyBorder="1" applyFill="1" applyFont="1">
      <alignment horizontal="center" readingOrder="0" vertical="bottom"/>
    </xf>
    <xf borderId="5" fillId="5" fontId="4" numFmtId="9" xfId="0" applyAlignment="1" applyBorder="1" applyFill="1" applyFont="1" applyNumberFormat="1">
      <alignment horizontal="center" vertical="bottom"/>
    </xf>
    <xf borderId="8" fillId="3" fontId="20" numFmtId="0" xfId="0" applyAlignment="1" applyBorder="1" applyFill="1" applyFont="1">
      <alignment horizontal="center" readingOrder="0" vertical="bottom"/>
    </xf>
    <xf borderId="0" fillId="5" fontId="18" numFmtId="0" xfId="0" applyAlignment="1" applyFill="1" applyFont="1">
      <alignment horizontal="center" readingOrder="0" vertical="bottom"/>
    </xf>
    <xf borderId="0" fillId="5" fontId="18" numFmtId="0" xfId="0" applyAlignment="1" applyFill="1" applyFont="1">
      <alignment horizontal="center" vertical="bottom"/>
    </xf>
    <xf borderId="11" fillId="5" fontId="14" numFmtId="0" xfId="0" applyAlignment="1" applyBorder="1" applyFill="1" applyFont="1">
      <alignment vertical="bottom"/>
    </xf>
    <xf borderId="0" fillId="6" fontId="23" numFmtId="0" xfId="0" applyAlignment="1" applyFill="1" applyFont="1">
      <alignment vertical="bottom"/>
    </xf>
    <xf borderId="1" fillId="2" fontId="14" numFmtId="165" xfId="0" applyAlignment="1" applyBorder="1" applyFill="1" applyFont="1" applyNumberFormat="1">
      <alignment horizontal="center" readingOrder="0" vertical="bottom"/>
    </xf>
    <xf borderId="0" fillId="6" fontId="24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4" fillId="5" fontId="14" numFmtId="0" xfId="0" applyAlignment="1" applyBorder="1" applyFill="1" applyFont="1">
      <alignment vertical="bottom"/>
    </xf>
    <xf borderId="3" fillId="0" fontId="3" numFmtId="0" xfId="0" applyBorder="1" applyFont="1"/>
    <xf borderId="4" fillId="2" fontId="15" numFmtId="165" xfId="0" applyAlignment="1" applyBorder="1" applyFill="1" applyFont="1" applyNumberFormat="1">
      <alignment horizontal="center" readingOrder="0" vertical="bottom"/>
    </xf>
    <xf borderId="0" fillId="3" fontId="11" numFmtId="0" xfId="0" applyAlignment="1" applyFill="1" applyFont="1">
      <alignment horizontal="center" readingOrder="0" vertical="bottom"/>
    </xf>
    <xf borderId="0" fillId="5" fontId="19" numFmtId="0" xfId="0" applyFill="1" applyFont="1"/>
    <xf borderId="1" fillId="6" fontId="25" numFmtId="0" xfId="0" applyAlignment="1" applyBorder="1" applyFill="1" applyFont="1">
      <alignment horizontal="center" readingOrder="0" vertical="bottom"/>
    </xf>
    <xf borderId="5" fillId="3" fontId="7" numFmtId="0" xfId="0" applyAlignment="1" applyBorder="1" applyFill="1" applyFont="1">
      <alignment horizontal="center" readingOrder="0" vertical="bottom"/>
    </xf>
    <xf borderId="0" fillId="5" fontId="26" numFmtId="0" xfId="0" applyAlignment="1" applyFill="1" applyFont="1">
      <alignment horizontal="left" readingOrder="0" vertical="bottom"/>
    </xf>
    <xf borderId="4" fillId="2" fontId="14" numFmtId="165" xfId="0" applyAlignment="1" applyBorder="1" applyFill="1" applyFont="1" applyNumberFormat="1">
      <alignment horizontal="center"/>
    </xf>
    <xf borderId="1" fillId="2" fontId="14" numFmtId="165" xfId="0" applyAlignment="1" applyBorder="1" applyFill="1" applyFont="1" applyNumberFormat="1">
      <alignment horizontal="center" vertical="bottom"/>
    </xf>
    <xf borderId="5" fillId="3" fontId="7" numFmtId="9" xfId="0" applyAlignment="1" applyBorder="1" applyFill="1" applyFont="1" applyNumberFormat="1">
      <alignment horizontal="center" readingOrder="0" vertical="bottom"/>
    </xf>
    <xf borderId="0" fillId="5" fontId="4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5" fontId="5" numFmtId="0" xfId="0" applyAlignment="1" applyFill="1" applyFont="1">
      <alignment horizontal="center" vertical="bottom"/>
    </xf>
    <xf borderId="9" fillId="5" fontId="5" numFmtId="0" xfId="0" applyAlignment="1" applyBorder="1" applyFill="1" applyFont="1">
      <alignment horizontal="center" vertical="bottom"/>
    </xf>
    <xf borderId="0" fillId="5" fontId="18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13"/>
    <col customWidth="1" min="3" max="3" width="24.5"/>
    <col customWidth="1" min="4" max="4" width="13.75"/>
    <col customWidth="1" min="5" max="5" width="13.0"/>
    <col customWidth="1" min="7" max="7" width="13.75"/>
    <col customWidth="1" min="8" max="9" width="15.38"/>
  </cols>
  <sheetData>
    <row r="1">
      <c r="A1" s="3" t="s">
        <v>2</v>
      </c>
      <c r="B1" s="4"/>
      <c r="C1" s="4"/>
      <c r="D1" s="4"/>
      <c r="E1" s="5"/>
      <c r="F1" s="7"/>
      <c r="G1" s="7"/>
      <c r="H1" s="7"/>
      <c r="I1" s="7"/>
      <c r="J1" s="7"/>
      <c r="K1" s="7"/>
    </row>
    <row r="2">
      <c r="A2" s="10" t="s">
        <v>5</v>
      </c>
      <c r="B2" s="4"/>
      <c r="C2" s="4"/>
      <c r="D2" s="4"/>
      <c r="E2" s="5"/>
    </row>
    <row r="3">
      <c r="A3" s="13" t="s">
        <v>8</v>
      </c>
      <c r="B3" s="4"/>
      <c r="C3" s="4"/>
      <c r="D3" s="5"/>
      <c r="E3" s="14">
        <v>1540.0</v>
      </c>
    </row>
    <row r="4">
      <c r="A4" s="15" t="s">
        <v>9</v>
      </c>
      <c r="B4" s="4"/>
      <c r="C4" s="4"/>
      <c r="D4" s="4"/>
      <c r="E4" s="5"/>
    </row>
    <row r="5">
      <c r="A5" s="17" t="s">
        <v>10</v>
      </c>
      <c r="B5" s="20" t="s">
        <v>11</v>
      </c>
      <c r="C5" s="17" t="s">
        <v>12</v>
      </c>
      <c r="D5" s="23" t="s">
        <v>13</v>
      </c>
      <c r="E5" s="23" t="s">
        <v>14</v>
      </c>
    </row>
    <row r="6">
      <c r="A6" s="25" t="s">
        <v>15</v>
      </c>
      <c r="B6" s="27">
        <v>1.0</v>
      </c>
      <c r="C6" s="28" t="s">
        <v>18</v>
      </c>
      <c r="D6" s="31">
        <v>280.0</v>
      </c>
      <c r="E6" s="35">
        <v>435.4</v>
      </c>
      <c r="F6" s="36"/>
      <c r="G6" s="36"/>
      <c r="H6" s="36"/>
      <c r="I6" s="36"/>
      <c r="J6" s="36"/>
      <c r="K6" s="36"/>
    </row>
    <row r="7">
      <c r="A7" s="25" t="s">
        <v>20</v>
      </c>
      <c r="B7" s="27">
        <v>0.96</v>
      </c>
      <c r="C7" s="28" t="s">
        <v>18</v>
      </c>
      <c r="D7" s="31">
        <v>310.0</v>
      </c>
      <c r="E7" s="40">
        <f>D7*E3</f>
        <v>477400</v>
      </c>
      <c r="F7" s="36"/>
      <c r="G7" s="36"/>
      <c r="H7" s="36"/>
      <c r="I7" s="36"/>
      <c r="J7" s="36"/>
      <c r="K7" s="36"/>
    </row>
    <row r="8">
      <c r="A8" s="25" t="s">
        <v>20</v>
      </c>
      <c r="B8" s="27">
        <v>1.0</v>
      </c>
      <c r="C8" s="28" t="s">
        <v>18</v>
      </c>
      <c r="D8" s="31">
        <v>330.0</v>
      </c>
      <c r="E8" s="40">
        <f>D8*E3</f>
        <v>508200</v>
      </c>
      <c r="F8" s="36"/>
      <c r="G8" s="36"/>
      <c r="H8" s="36"/>
      <c r="I8" s="36"/>
      <c r="J8" s="36"/>
      <c r="K8" s="36"/>
    </row>
    <row r="9">
      <c r="A9" s="25" t="s">
        <v>30</v>
      </c>
      <c r="B9" s="27">
        <v>1.0</v>
      </c>
      <c r="C9" s="28" t="s">
        <v>18</v>
      </c>
      <c r="D9" s="31">
        <v>350.0</v>
      </c>
      <c r="E9" s="39">
        <f>D9*E3</f>
        <v>539000</v>
      </c>
      <c r="F9" s="46"/>
      <c r="G9" s="47"/>
      <c r="H9" s="36"/>
      <c r="I9" s="36"/>
      <c r="J9" s="36"/>
      <c r="K9" s="36"/>
    </row>
    <row r="10">
      <c r="A10" s="25" t="s">
        <v>34</v>
      </c>
      <c r="B10" s="48" t="s">
        <v>36</v>
      </c>
      <c r="C10" s="28" t="s">
        <v>38</v>
      </c>
      <c r="D10" s="31">
        <v>340.0</v>
      </c>
      <c r="E10" s="39">
        <f>D10*E3</f>
        <v>523600</v>
      </c>
      <c r="F10" s="50" t="s">
        <v>39</v>
      </c>
      <c r="G10" s="47"/>
      <c r="H10" s="36"/>
      <c r="I10" s="36"/>
      <c r="J10" s="36"/>
      <c r="K10" s="36"/>
    </row>
    <row r="11">
      <c r="A11" s="28" t="s">
        <v>42</v>
      </c>
      <c r="B11" s="27">
        <v>1.0</v>
      </c>
      <c r="C11" s="28" t="s">
        <v>43</v>
      </c>
      <c r="D11" s="31">
        <v>470.0</v>
      </c>
      <c r="E11" s="40">
        <f>D11*E3</f>
        <v>723800</v>
      </c>
      <c r="F11" s="50" t="s">
        <v>39</v>
      </c>
      <c r="G11" s="36"/>
      <c r="H11" s="36"/>
      <c r="I11" s="36"/>
      <c r="J11" s="36"/>
      <c r="K11" s="36"/>
    </row>
    <row r="12">
      <c r="A12" s="28" t="s">
        <v>47</v>
      </c>
      <c r="B12" s="27">
        <v>1.0</v>
      </c>
      <c r="C12" s="28" t="s">
        <v>43</v>
      </c>
      <c r="D12" s="31">
        <v>500.0</v>
      </c>
      <c r="E12" s="40">
        <f>D12*E3</f>
        <v>770000</v>
      </c>
      <c r="F12" s="50" t="s">
        <v>39</v>
      </c>
      <c r="G12" s="36"/>
      <c r="H12" s="36"/>
      <c r="I12" s="36"/>
      <c r="J12" s="36"/>
      <c r="K12" s="36"/>
    </row>
    <row r="13">
      <c r="A13" s="28" t="s">
        <v>19</v>
      </c>
      <c r="B13" s="27">
        <v>1.0</v>
      </c>
      <c r="C13" s="28" t="s">
        <v>26</v>
      </c>
      <c r="D13" s="31">
        <v>590.0</v>
      </c>
      <c r="E13" s="40">
        <f>D13*E3</f>
        <v>908600</v>
      </c>
      <c r="F13" s="59"/>
      <c r="G13" s="36"/>
      <c r="H13" s="36"/>
      <c r="I13" s="36"/>
      <c r="J13" s="36"/>
      <c r="K13" s="36"/>
    </row>
    <row r="14">
      <c r="A14" s="28" t="s">
        <v>50</v>
      </c>
      <c r="B14" s="27">
        <v>0.87</v>
      </c>
      <c r="C14" s="28" t="s">
        <v>18</v>
      </c>
      <c r="D14" s="31">
        <v>440.0</v>
      </c>
      <c r="E14" s="40">
        <f>D14*E3</f>
        <v>677600</v>
      </c>
      <c r="F14" s="59"/>
      <c r="G14" s="36"/>
      <c r="H14" s="36"/>
      <c r="I14" s="36"/>
      <c r="J14" s="36"/>
      <c r="K14" s="36"/>
    </row>
    <row r="15">
      <c r="A15" s="28" t="s">
        <v>50</v>
      </c>
      <c r="B15" s="27">
        <v>1.0</v>
      </c>
      <c r="C15" s="28" t="s">
        <v>53</v>
      </c>
      <c r="D15" s="31">
        <v>450.0</v>
      </c>
      <c r="E15" s="40">
        <f>D15*E3</f>
        <v>693000</v>
      </c>
      <c r="F15" s="59"/>
      <c r="G15" s="36"/>
      <c r="H15" s="36"/>
      <c r="I15" s="36"/>
      <c r="J15" s="36"/>
      <c r="K15" s="36"/>
    </row>
    <row r="16">
      <c r="A16" s="28" t="s">
        <v>57</v>
      </c>
      <c r="B16" s="27">
        <v>1.0</v>
      </c>
      <c r="C16" s="28" t="s">
        <v>33</v>
      </c>
      <c r="D16" s="31">
        <v>550.0</v>
      </c>
      <c r="E16" s="40">
        <f>D16*E3</f>
        <v>847000</v>
      </c>
      <c r="F16" s="70" t="s">
        <v>39</v>
      </c>
      <c r="G16" s="72"/>
      <c r="H16" s="73"/>
      <c r="I16" s="74"/>
      <c r="J16" s="74"/>
      <c r="K16" s="74"/>
    </row>
    <row r="17">
      <c r="A17" s="28" t="s">
        <v>16</v>
      </c>
      <c r="B17" s="27">
        <v>0.89</v>
      </c>
      <c r="C17" s="28" t="s">
        <v>33</v>
      </c>
      <c r="D17" s="77">
        <v>530.0</v>
      </c>
      <c r="E17" s="40">
        <f>D17*E3</f>
        <v>816200</v>
      </c>
      <c r="F17" s="59"/>
      <c r="G17" s="74"/>
      <c r="H17" s="73" t="s">
        <v>64</v>
      </c>
      <c r="I17" s="74"/>
      <c r="J17" s="74"/>
      <c r="K17" s="74"/>
    </row>
    <row r="18">
      <c r="A18" s="28" t="s">
        <v>28</v>
      </c>
      <c r="B18" s="27">
        <v>0.89</v>
      </c>
      <c r="C18" s="28" t="s">
        <v>49</v>
      </c>
      <c r="D18" s="77">
        <v>650.0</v>
      </c>
      <c r="E18" s="40">
        <f>D18*E3</f>
        <v>1001000</v>
      </c>
      <c r="F18" s="83"/>
      <c r="G18" s="74"/>
      <c r="H18" s="73"/>
      <c r="I18" s="74"/>
      <c r="J18" s="74"/>
      <c r="K18" s="74"/>
      <c r="L18" s="84"/>
    </row>
    <row r="19">
      <c r="A19" s="28" t="s">
        <v>66</v>
      </c>
      <c r="B19" s="27">
        <v>0.88</v>
      </c>
      <c r="C19" s="28" t="s">
        <v>67</v>
      </c>
      <c r="D19" s="77">
        <v>640.0</v>
      </c>
      <c r="E19" s="40">
        <f>D19*E3</f>
        <v>985600</v>
      </c>
      <c r="F19" s="50" t="s">
        <v>39</v>
      </c>
      <c r="G19" s="74"/>
      <c r="H19" s="73"/>
      <c r="I19" s="74"/>
      <c r="J19" s="74"/>
      <c r="K19" s="74"/>
      <c r="L19" s="84"/>
    </row>
    <row r="20">
      <c r="A20" s="28" t="s">
        <v>66</v>
      </c>
      <c r="B20" s="27">
        <v>0.89</v>
      </c>
      <c r="C20" s="28" t="s">
        <v>67</v>
      </c>
      <c r="D20" s="77">
        <v>650.0</v>
      </c>
      <c r="E20" s="40">
        <f>D20*E3</f>
        <v>1001000</v>
      </c>
      <c r="F20" s="50" t="s">
        <v>39</v>
      </c>
      <c r="G20" s="74"/>
      <c r="H20" s="73"/>
      <c r="I20" s="74"/>
      <c r="J20" s="74"/>
      <c r="K20" s="74"/>
      <c r="L20" s="84"/>
    </row>
    <row r="21">
      <c r="A21" s="86" t="s">
        <v>68</v>
      </c>
      <c r="B21" s="86" t="s">
        <v>69</v>
      </c>
      <c r="C21" s="86" t="s">
        <v>70</v>
      </c>
      <c r="D21" s="77">
        <v>720.0</v>
      </c>
      <c r="E21" s="40">
        <f>D21*E3</f>
        <v>1108800</v>
      </c>
      <c r="F21" s="87"/>
      <c r="G21" s="87"/>
      <c r="H21" s="73"/>
      <c r="I21" s="74"/>
      <c r="J21" s="74"/>
      <c r="K21" s="74"/>
      <c r="L21" s="84"/>
    </row>
    <row r="22">
      <c r="A22" s="86" t="s">
        <v>59</v>
      </c>
      <c r="B22" s="86" t="s">
        <v>71</v>
      </c>
      <c r="C22" s="86" t="s">
        <v>72</v>
      </c>
      <c r="D22" s="77">
        <v>960.0</v>
      </c>
      <c r="E22" s="40" t="s">
        <v>73</v>
      </c>
      <c r="F22" s="87"/>
      <c r="G22" s="87"/>
      <c r="H22" s="73"/>
      <c r="I22" s="74"/>
      <c r="J22" s="74"/>
      <c r="K22" s="74"/>
      <c r="L22" s="84"/>
    </row>
    <row r="23">
      <c r="A23" s="28" t="s">
        <v>59</v>
      </c>
      <c r="B23" s="57">
        <v>0.95</v>
      </c>
      <c r="C23" s="28" t="s">
        <v>33</v>
      </c>
      <c r="D23" s="77">
        <v>980.0</v>
      </c>
      <c r="E23" s="88">
        <f>D23*E3</f>
        <v>1509200</v>
      </c>
      <c r="F23" s="74"/>
      <c r="G23" s="74"/>
      <c r="H23" s="73"/>
      <c r="I23" s="74"/>
      <c r="J23" s="74"/>
      <c r="K23" s="74"/>
      <c r="L23" s="84"/>
    </row>
    <row r="24">
      <c r="A24" s="56" t="s">
        <v>24</v>
      </c>
      <c r="B24" s="57">
        <v>0.92</v>
      </c>
      <c r="C24" s="56" t="s">
        <v>31</v>
      </c>
      <c r="D24" s="89">
        <v>1150.0</v>
      </c>
      <c r="E24" s="88">
        <f>D24*E3</f>
        <v>1771000</v>
      </c>
      <c r="F24" s="74"/>
      <c r="G24" s="74"/>
      <c r="H24" s="73"/>
      <c r="I24" s="74"/>
      <c r="J24" s="74"/>
      <c r="K24" s="74"/>
      <c r="L24" s="84"/>
    </row>
    <row r="25">
      <c r="A25" s="86" t="s">
        <v>29</v>
      </c>
      <c r="B25" s="90">
        <v>0.9</v>
      </c>
      <c r="C25" s="86" t="s">
        <v>31</v>
      </c>
      <c r="D25" s="77">
        <v>1230.0</v>
      </c>
      <c r="E25" s="40">
        <f>D25*E3</f>
        <v>1894200</v>
      </c>
      <c r="F25" s="74"/>
      <c r="G25" s="74"/>
      <c r="H25" s="73"/>
      <c r="I25" s="74"/>
      <c r="J25" s="74"/>
      <c r="K25" s="74"/>
      <c r="L25" s="84"/>
    </row>
    <row r="26">
      <c r="A26" s="78" t="s">
        <v>62</v>
      </c>
      <c r="F26" s="74"/>
      <c r="G26" s="74"/>
      <c r="H26" s="73"/>
      <c r="I26" s="74"/>
      <c r="J26" s="74"/>
      <c r="K26" s="74"/>
      <c r="L26" s="84"/>
    </row>
    <row r="27">
      <c r="D27" s="6"/>
      <c r="E27" s="6"/>
      <c r="F27" s="74"/>
      <c r="G27" s="74"/>
      <c r="H27" s="73"/>
      <c r="I27" s="74"/>
      <c r="J27" s="74"/>
      <c r="K27" s="74"/>
      <c r="L27" s="84"/>
    </row>
    <row r="28">
      <c r="D28" s="6"/>
      <c r="E28" s="6"/>
      <c r="F28" s="74"/>
      <c r="G28" s="74"/>
      <c r="H28" s="73"/>
      <c r="I28" s="74"/>
      <c r="J28" s="74"/>
      <c r="K28" s="74"/>
      <c r="L28" s="84"/>
    </row>
    <row r="29">
      <c r="D29" s="6"/>
      <c r="E29" s="6"/>
      <c r="F29" s="74"/>
      <c r="G29" s="74"/>
      <c r="H29" s="73"/>
      <c r="I29" s="74"/>
      <c r="J29" s="74"/>
      <c r="K29" s="74"/>
      <c r="L29" s="84"/>
    </row>
    <row r="30">
      <c r="D30" s="6"/>
      <c r="E30" s="6"/>
      <c r="F30" s="74"/>
      <c r="G30" s="74"/>
      <c r="H30" s="73"/>
      <c r="I30" s="74"/>
      <c r="J30" s="74"/>
      <c r="K30" s="74"/>
      <c r="L30" s="84"/>
    </row>
    <row r="31">
      <c r="D31" s="6"/>
      <c r="E31" s="6"/>
      <c r="F31" s="74"/>
      <c r="G31" s="74"/>
      <c r="H31" s="73"/>
      <c r="I31" s="74"/>
      <c r="J31" s="74"/>
      <c r="K31" s="74"/>
      <c r="L31" s="84"/>
    </row>
    <row r="32">
      <c r="D32" s="6"/>
      <c r="E32" s="6"/>
      <c r="F32" s="74"/>
      <c r="G32" s="74"/>
      <c r="H32" s="73"/>
      <c r="I32" s="74"/>
      <c r="J32" s="74"/>
      <c r="K32" s="74"/>
      <c r="L32" s="84"/>
    </row>
    <row r="33">
      <c r="D33" s="6"/>
      <c r="E33" s="6"/>
      <c r="F33" s="74"/>
      <c r="G33" s="74"/>
      <c r="H33" s="73"/>
      <c r="I33" s="74"/>
      <c r="J33" s="74"/>
      <c r="K33" s="74"/>
      <c r="L33" s="84"/>
    </row>
    <row r="34">
      <c r="D34" s="6"/>
      <c r="E34" s="6"/>
      <c r="F34" s="74"/>
      <c r="G34" s="74"/>
      <c r="H34" s="73"/>
      <c r="I34" s="74"/>
      <c r="J34" s="74"/>
      <c r="K34" s="74"/>
      <c r="L34" s="84"/>
    </row>
    <row r="35">
      <c r="D35" s="6"/>
      <c r="E35" s="6"/>
      <c r="F35" s="74"/>
      <c r="G35" s="74"/>
      <c r="H35" s="74"/>
      <c r="I35" s="74"/>
      <c r="J35" s="74"/>
      <c r="K35" s="74"/>
      <c r="L35" s="84"/>
    </row>
    <row r="36">
      <c r="D36" s="6"/>
      <c r="E36" s="6"/>
      <c r="F36" s="91"/>
      <c r="G36" s="74"/>
      <c r="H36" s="74"/>
      <c r="I36" s="74"/>
      <c r="J36" s="74"/>
      <c r="K36" s="74"/>
      <c r="L36" s="84"/>
    </row>
    <row r="37">
      <c r="D37" s="6"/>
      <c r="E37" s="6"/>
      <c r="F37" s="91"/>
      <c r="G37" s="74"/>
      <c r="H37" s="74"/>
      <c r="I37" s="74"/>
      <c r="J37" s="74"/>
      <c r="K37" s="74"/>
      <c r="L37" s="84"/>
    </row>
    <row r="38">
      <c r="D38" s="6"/>
      <c r="E38" s="6"/>
      <c r="F38" s="91"/>
      <c r="G38" s="74"/>
      <c r="H38" s="74"/>
      <c r="I38" s="74"/>
      <c r="J38" s="74"/>
      <c r="K38" s="74"/>
      <c r="L38" s="84"/>
    </row>
    <row r="39">
      <c r="D39" s="6"/>
      <c r="E39" s="6"/>
      <c r="F39" s="91"/>
      <c r="G39" s="74"/>
      <c r="H39" s="74"/>
      <c r="I39" s="74"/>
      <c r="J39" s="74"/>
      <c r="K39" s="74"/>
      <c r="L39" s="84"/>
    </row>
    <row r="40">
      <c r="D40" s="6"/>
      <c r="E40" s="6"/>
      <c r="F40" s="91"/>
      <c r="G40" s="74"/>
      <c r="H40" s="74"/>
      <c r="I40" s="74"/>
      <c r="J40" s="74"/>
      <c r="K40" s="74"/>
      <c r="L40" s="84"/>
    </row>
    <row r="41">
      <c r="D41" s="6"/>
      <c r="E41" s="6"/>
      <c r="F41" s="91"/>
      <c r="G41" s="74"/>
      <c r="H41" s="74"/>
      <c r="I41" s="74"/>
      <c r="J41" s="74"/>
      <c r="K41" s="74"/>
      <c r="L41" s="84"/>
    </row>
    <row r="42">
      <c r="D42" s="6"/>
      <c r="E42" s="6"/>
      <c r="F42" s="91"/>
      <c r="G42" s="74"/>
      <c r="H42" s="74"/>
      <c r="I42" s="74"/>
      <c r="J42" s="74"/>
      <c r="K42" s="74"/>
      <c r="L42" s="84"/>
    </row>
    <row r="43">
      <c r="D43" s="6"/>
      <c r="E43" s="6"/>
      <c r="F43" s="91"/>
      <c r="G43" s="74"/>
      <c r="H43" s="74"/>
      <c r="I43" s="74"/>
      <c r="J43" s="74"/>
      <c r="K43" s="74"/>
      <c r="L43" s="84"/>
    </row>
    <row r="44" ht="18.0" customHeight="1">
      <c r="D44" s="6"/>
      <c r="E44" s="6"/>
      <c r="F44" s="91"/>
      <c r="G44" s="74"/>
      <c r="H44" s="74"/>
      <c r="I44" s="74"/>
      <c r="J44" s="74"/>
      <c r="K44" s="74"/>
      <c r="L44" s="84"/>
    </row>
    <row r="45" ht="18.0" customHeight="1">
      <c r="D45" s="6"/>
      <c r="E45" s="6"/>
      <c r="F45" s="91"/>
      <c r="G45" s="74"/>
      <c r="H45" s="74"/>
      <c r="I45" s="74"/>
      <c r="J45" s="74"/>
      <c r="K45" s="74"/>
      <c r="L45" s="84"/>
    </row>
    <row r="46" ht="18.0" customHeight="1">
      <c r="D46" s="6"/>
      <c r="E46" s="6"/>
      <c r="F46" s="91"/>
      <c r="G46" s="91"/>
      <c r="H46" s="74"/>
      <c r="I46" s="74"/>
      <c r="J46" s="74"/>
      <c r="K46" s="74"/>
      <c r="L46" s="84"/>
    </row>
    <row r="47">
      <c r="D47" s="6"/>
      <c r="E47" s="6"/>
      <c r="F47" s="6"/>
      <c r="G47" s="91"/>
      <c r="H47" s="74"/>
      <c r="I47" s="74"/>
      <c r="J47" s="74"/>
      <c r="K47" s="74"/>
      <c r="L47" s="84"/>
    </row>
    <row r="48">
      <c r="D48" s="6"/>
      <c r="E48" s="6"/>
      <c r="F48" s="6"/>
      <c r="G48" s="91"/>
      <c r="H48" s="74"/>
      <c r="I48" s="74"/>
      <c r="J48" s="74"/>
      <c r="K48" s="74"/>
      <c r="L48" s="84"/>
    </row>
    <row r="49">
      <c r="D49" s="6"/>
      <c r="E49" s="6"/>
      <c r="F49" s="6"/>
      <c r="G49" s="91"/>
      <c r="H49" s="74"/>
      <c r="I49" s="74"/>
      <c r="J49" s="74"/>
      <c r="K49" s="74"/>
      <c r="L49" s="84"/>
    </row>
    <row r="50">
      <c r="D50" s="6"/>
      <c r="E50" s="6"/>
      <c r="F50" s="6"/>
      <c r="G50" s="91"/>
      <c r="H50" s="74"/>
      <c r="I50" s="74"/>
      <c r="J50" s="74"/>
      <c r="K50" s="74"/>
      <c r="L50" s="84"/>
    </row>
    <row r="51">
      <c r="D51" s="6"/>
      <c r="E51" s="6"/>
      <c r="F51" s="6"/>
      <c r="G51" s="91"/>
      <c r="H51" s="74"/>
      <c r="I51" s="74"/>
      <c r="J51" s="74"/>
      <c r="K51" s="74"/>
      <c r="L51" s="84"/>
    </row>
    <row r="52">
      <c r="D52" s="6"/>
      <c r="E52" s="6"/>
      <c r="F52" s="6"/>
      <c r="G52" s="6"/>
      <c r="H52" s="74"/>
      <c r="I52" s="74"/>
      <c r="J52" s="74"/>
      <c r="K52" s="74"/>
      <c r="L52" s="84"/>
    </row>
    <row r="53">
      <c r="D53" s="6"/>
      <c r="E53" s="6"/>
      <c r="F53" s="6"/>
      <c r="G53" s="6"/>
      <c r="H53" s="91"/>
      <c r="I53" s="74"/>
      <c r="J53" s="74"/>
      <c r="K53" s="74"/>
      <c r="L53" s="84"/>
      <c r="M53" s="84"/>
      <c r="N53" s="84"/>
    </row>
    <row r="54">
      <c r="D54" s="6"/>
      <c r="E54" s="6"/>
      <c r="F54" s="6"/>
      <c r="G54" s="6"/>
      <c r="H54" s="91"/>
      <c r="I54" s="74"/>
      <c r="J54" s="74"/>
      <c r="K54" s="74"/>
      <c r="L54" s="84"/>
      <c r="M54" s="84"/>
      <c r="N54" s="84"/>
      <c r="O54" s="84"/>
      <c r="P54" s="84"/>
      <c r="Q54" s="84"/>
    </row>
    <row r="55">
      <c r="D55" s="92"/>
      <c r="E55" s="6"/>
      <c r="F55" s="6"/>
      <c r="G55" s="6"/>
      <c r="H55" s="91"/>
      <c r="I55" s="74"/>
      <c r="J55" s="74"/>
      <c r="K55" s="74"/>
      <c r="L55" s="84"/>
      <c r="M55" s="84"/>
      <c r="N55" s="84"/>
      <c r="O55" s="84"/>
      <c r="P55" s="84"/>
      <c r="Q55" s="84"/>
    </row>
    <row r="56">
      <c r="D56" s="6"/>
      <c r="E56" s="6"/>
      <c r="F56" s="6"/>
      <c r="G56" s="6"/>
      <c r="H56" s="91"/>
      <c r="I56" s="91"/>
      <c r="J56" s="91"/>
      <c r="K56" s="74"/>
      <c r="L56" s="74"/>
      <c r="M56" s="84"/>
      <c r="N56" s="84"/>
      <c r="O56" s="84"/>
      <c r="P56" s="84"/>
      <c r="Q56" s="84"/>
    </row>
    <row r="57">
      <c r="D57" s="6"/>
      <c r="E57" s="6"/>
      <c r="F57" s="6"/>
      <c r="G57" s="6"/>
      <c r="H57" s="91"/>
      <c r="I57" s="91"/>
      <c r="J57" s="91"/>
      <c r="K57" s="74"/>
      <c r="L57" s="74"/>
      <c r="M57" s="93"/>
      <c r="N57" s="93"/>
      <c r="O57" s="84"/>
      <c r="P57" s="84"/>
      <c r="Q57" s="84"/>
    </row>
    <row r="58">
      <c r="D58" s="6"/>
      <c r="E58" s="6"/>
      <c r="F58" s="6"/>
      <c r="G58" s="6"/>
      <c r="H58" s="91"/>
      <c r="I58" s="91"/>
      <c r="J58" s="91"/>
      <c r="K58" s="74"/>
      <c r="L58" s="74"/>
      <c r="M58" s="93"/>
      <c r="N58" s="93"/>
      <c r="O58" s="93"/>
      <c r="P58" s="93"/>
      <c r="Q58" s="93"/>
      <c r="R58" s="93"/>
    </row>
    <row r="59">
      <c r="D59" s="6"/>
      <c r="E59" s="6"/>
      <c r="F59" s="6"/>
      <c r="G59" s="6"/>
      <c r="H59" s="6"/>
      <c r="I59" s="91"/>
      <c r="J59" s="91"/>
      <c r="K59" s="91"/>
      <c r="L59" s="74"/>
      <c r="M59" s="93"/>
      <c r="N59" s="93"/>
      <c r="O59" s="93"/>
      <c r="P59" s="93"/>
      <c r="Q59" s="93"/>
      <c r="R59" s="93"/>
    </row>
    <row r="60">
      <c r="D60" s="6"/>
      <c r="F60" s="6"/>
      <c r="G60" s="6"/>
      <c r="H60" s="6"/>
      <c r="I60" s="91"/>
      <c r="J60" s="91"/>
      <c r="K60" s="91"/>
      <c r="L60" s="74"/>
      <c r="M60" s="93"/>
      <c r="N60" s="93"/>
      <c r="O60" s="93"/>
      <c r="P60" s="93"/>
      <c r="Q60" s="93"/>
      <c r="R60" s="93"/>
    </row>
    <row r="61">
      <c r="D61" s="6"/>
      <c r="F61" s="6"/>
      <c r="G61" s="6"/>
      <c r="H61" s="6"/>
      <c r="I61" s="91"/>
      <c r="J61" s="91"/>
      <c r="K61" s="91"/>
      <c r="L61" s="74"/>
      <c r="O61" s="93"/>
      <c r="P61" s="93"/>
      <c r="Q61" s="93"/>
      <c r="R61" s="94"/>
    </row>
    <row r="62">
      <c r="D62" s="6"/>
      <c r="F62" s="6"/>
      <c r="G62" s="6"/>
      <c r="H62" s="6"/>
      <c r="I62" s="6"/>
      <c r="J62" s="6"/>
      <c r="K62" s="91"/>
      <c r="L62" s="74"/>
    </row>
    <row r="63">
      <c r="D63" s="6"/>
      <c r="F63" s="6"/>
      <c r="G63" s="6"/>
      <c r="H63" s="6"/>
      <c r="I63" s="6"/>
      <c r="J63" s="6"/>
      <c r="K63" s="91"/>
      <c r="L63" s="74"/>
    </row>
    <row r="64">
      <c r="D64" s="6"/>
      <c r="F64" s="6"/>
      <c r="G64" s="6"/>
      <c r="H64" s="6"/>
      <c r="I64" s="6"/>
      <c r="J64" s="6"/>
      <c r="K64" s="91"/>
      <c r="L64" s="74"/>
    </row>
    <row r="65">
      <c r="D65" s="6"/>
      <c r="F65" s="6"/>
      <c r="G65" s="6"/>
      <c r="H65" s="6"/>
      <c r="I65" s="6"/>
      <c r="J65" s="6"/>
      <c r="K65" s="6"/>
      <c r="L65" s="74"/>
    </row>
    <row r="66">
      <c r="D66" s="6"/>
      <c r="F66" s="6"/>
      <c r="G66" s="6"/>
      <c r="H66" s="6"/>
      <c r="I66" s="6"/>
      <c r="J66" s="6"/>
      <c r="K66" s="6"/>
      <c r="L66" s="74"/>
    </row>
    <row r="67">
      <c r="D67" s="6"/>
      <c r="F67" s="6"/>
      <c r="G67" s="6"/>
      <c r="H67" s="6"/>
      <c r="I67" s="6"/>
      <c r="J67" s="6"/>
      <c r="K67" s="6"/>
      <c r="L67" s="74"/>
    </row>
    <row r="68">
      <c r="D68" s="6"/>
      <c r="F68" s="6"/>
      <c r="G68" s="6"/>
      <c r="H68" s="6"/>
      <c r="I68" s="6"/>
      <c r="J68" s="6"/>
      <c r="K68" s="6"/>
      <c r="L68" s="95"/>
    </row>
    <row r="69">
      <c r="D69" s="6"/>
      <c r="F69" s="6"/>
      <c r="G69" s="6"/>
      <c r="H69" s="6"/>
      <c r="I69" s="6"/>
      <c r="J69" s="6"/>
      <c r="K69" s="6"/>
      <c r="L69" s="95"/>
    </row>
    <row r="70">
      <c r="D70" s="6"/>
      <c r="F70" s="6"/>
      <c r="G70" s="6"/>
      <c r="H70" s="6"/>
      <c r="I70" s="6"/>
      <c r="J70" s="6"/>
      <c r="K70" s="6"/>
      <c r="L70" s="95"/>
    </row>
    <row r="71">
      <c r="D71" s="6"/>
      <c r="F71" s="6"/>
      <c r="G71" s="6"/>
      <c r="H71" s="6"/>
      <c r="I71" s="6"/>
      <c r="J71" s="6"/>
      <c r="K71" s="6"/>
      <c r="L71" s="95"/>
    </row>
    <row r="72">
      <c r="D72" s="6"/>
      <c r="F72" s="6"/>
      <c r="G72" s="6"/>
      <c r="H72" s="6"/>
      <c r="I72" s="6"/>
      <c r="J72" s="6"/>
      <c r="K72" s="6"/>
      <c r="L72" s="95"/>
    </row>
    <row r="73">
      <c r="D73" s="6"/>
      <c r="F73" s="6"/>
      <c r="G73" s="6"/>
      <c r="H73" s="6"/>
      <c r="I73" s="6"/>
      <c r="J73" s="6"/>
      <c r="K73" s="6"/>
      <c r="L73" s="74"/>
    </row>
    <row r="74">
      <c r="D74" s="6"/>
      <c r="F74" s="6"/>
      <c r="G74" s="6"/>
      <c r="H74" s="6"/>
      <c r="I74" s="6"/>
      <c r="J74" s="6"/>
      <c r="K74" s="6"/>
      <c r="L74" s="74"/>
    </row>
    <row r="75">
      <c r="D75" s="6"/>
      <c r="F75" s="6"/>
      <c r="G75" s="6"/>
      <c r="H75" s="6"/>
      <c r="I75" s="6"/>
      <c r="J75" s="6"/>
      <c r="K75" s="6"/>
      <c r="L75" s="74"/>
    </row>
    <row r="76">
      <c r="D76" s="6"/>
      <c r="F76" s="6"/>
      <c r="G76" s="6"/>
      <c r="H76" s="6"/>
      <c r="I76" s="6"/>
      <c r="J76" s="6"/>
      <c r="K76" s="6"/>
      <c r="L76" s="74"/>
    </row>
    <row r="77">
      <c r="D77" s="6"/>
      <c r="F77" s="6"/>
      <c r="G77" s="6"/>
      <c r="H77" s="6"/>
      <c r="I77" s="6"/>
      <c r="J77" s="6"/>
      <c r="K77" s="6"/>
      <c r="L77" s="74"/>
    </row>
    <row r="78">
      <c r="F78" s="6"/>
      <c r="G78" s="6"/>
      <c r="H78" s="6"/>
      <c r="I78" s="6"/>
      <c r="J78" s="6"/>
      <c r="K78" s="6"/>
      <c r="L78" s="74"/>
    </row>
    <row r="79">
      <c r="F79" s="6"/>
      <c r="G79" s="6"/>
      <c r="H79" s="6"/>
      <c r="I79" s="6"/>
      <c r="J79" s="6"/>
      <c r="K79" s="6"/>
      <c r="L79" s="74"/>
      <c r="M79" s="95"/>
      <c r="N79" s="95"/>
    </row>
    <row r="80">
      <c r="F80" s="6"/>
      <c r="G80" s="6"/>
      <c r="H80" s="6"/>
      <c r="I80" s="6"/>
      <c r="J80" s="6"/>
      <c r="K80" s="6"/>
      <c r="L80" s="74"/>
      <c r="M80" s="95"/>
      <c r="N80" s="95"/>
      <c r="O80" s="95"/>
      <c r="P80" s="95"/>
      <c r="Q80" s="95"/>
    </row>
    <row r="81">
      <c r="F81" s="6"/>
      <c r="G81" s="6"/>
      <c r="H81" s="6"/>
      <c r="I81" s="6"/>
      <c r="J81" s="6"/>
      <c r="K81" s="6"/>
      <c r="M81" s="95"/>
      <c r="N81" s="95"/>
      <c r="O81" s="95"/>
      <c r="P81" s="95"/>
      <c r="Q81" s="95"/>
    </row>
    <row r="82">
      <c r="F82" s="6"/>
      <c r="G82" s="6"/>
      <c r="H82" s="6"/>
      <c r="I82" s="6"/>
      <c r="J82" s="6"/>
      <c r="K82" s="6"/>
      <c r="O82" s="95"/>
      <c r="P82" s="95"/>
      <c r="Q82" s="95"/>
    </row>
    <row r="83">
      <c r="F83" s="6"/>
      <c r="G83" s="6"/>
      <c r="H83" s="6"/>
      <c r="I83" s="6"/>
      <c r="J83" s="6"/>
      <c r="K83" s="91"/>
    </row>
    <row r="84">
      <c r="F84" s="6"/>
      <c r="G84" s="6"/>
      <c r="H84" s="6"/>
      <c r="I84" s="6"/>
      <c r="J84" s="6"/>
      <c r="K84" s="91"/>
    </row>
    <row r="85">
      <c r="F85" s="6"/>
      <c r="G85" s="6"/>
      <c r="H85" s="6"/>
      <c r="I85" s="6"/>
      <c r="J85" s="6"/>
      <c r="K85" s="91"/>
    </row>
    <row r="86">
      <c r="F86" s="6"/>
      <c r="G86" s="6"/>
      <c r="H86" s="6"/>
      <c r="I86" s="6"/>
      <c r="J86" s="6"/>
      <c r="K86" s="91"/>
    </row>
    <row r="87">
      <c r="F87" s="6"/>
      <c r="G87" s="6"/>
      <c r="H87" s="6"/>
      <c r="I87" s="6"/>
      <c r="J87" s="6"/>
      <c r="K87" s="91"/>
    </row>
    <row r="88">
      <c r="F88" s="6"/>
      <c r="G88" s="6"/>
      <c r="H88" s="6"/>
      <c r="I88" s="6"/>
      <c r="J88" s="6"/>
      <c r="K88" s="91"/>
    </row>
    <row r="89">
      <c r="F89" s="6"/>
      <c r="G89" s="6"/>
      <c r="H89" s="6"/>
      <c r="I89" s="6"/>
      <c r="J89" s="6"/>
      <c r="K89" s="91"/>
    </row>
    <row r="90">
      <c r="F90" s="6"/>
      <c r="G90" s="6"/>
      <c r="H90" s="6"/>
      <c r="I90" s="6"/>
      <c r="J90" s="6"/>
      <c r="K90" s="91"/>
    </row>
    <row r="91">
      <c r="F91" s="6"/>
      <c r="G91" s="6"/>
      <c r="H91" s="6"/>
      <c r="I91" s="6"/>
      <c r="J91" s="6"/>
      <c r="K91" s="91"/>
    </row>
    <row r="92">
      <c r="F92" s="6"/>
      <c r="G92" s="6"/>
      <c r="H92" s="6"/>
      <c r="I92" s="6"/>
      <c r="J92" s="6"/>
      <c r="K92" s="91"/>
    </row>
    <row r="93">
      <c r="F93" s="6"/>
      <c r="G93" s="6"/>
      <c r="H93" s="6"/>
      <c r="I93" s="6"/>
      <c r="J93" s="6"/>
      <c r="K93" s="91"/>
    </row>
    <row r="94">
      <c r="F94" s="6"/>
      <c r="G94" s="6"/>
      <c r="H94" s="6"/>
      <c r="I94" s="6"/>
      <c r="J94" s="6"/>
      <c r="K94" s="91"/>
    </row>
    <row r="95">
      <c r="F95" s="6"/>
      <c r="G95" s="6"/>
      <c r="H95" s="6"/>
      <c r="I95" s="6"/>
      <c r="J95" s="6"/>
      <c r="K95" s="91"/>
    </row>
    <row r="96">
      <c r="F96" s="6"/>
      <c r="G96" s="6"/>
      <c r="H96" s="6"/>
      <c r="I96" s="6"/>
      <c r="J96" s="6"/>
      <c r="K96" s="91"/>
    </row>
    <row r="97">
      <c r="F97" s="6"/>
      <c r="G97" s="6"/>
      <c r="H97" s="6"/>
      <c r="I97" s="6"/>
      <c r="J97" s="6"/>
      <c r="K97" s="91"/>
    </row>
    <row r="98">
      <c r="F98" s="6"/>
      <c r="G98" s="6"/>
      <c r="H98" s="6"/>
      <c r="I98" s="6"/>
      <c r="K98" s="91"/>
    </row>
    <row r="99">
      <c r="F99" s="6"/>
      <c r="G99" s="6"/>
      <c r="H99" s="6"/>
      <c r="I99" s="6"/>
      <c r="K99" s="91"/>
    </row>
    <row r="100">
      <c r="F100" s="6"/>
      <c r="G100" s="6"/>
      <c r="H100" s="6"/>
      <c r="I100" s="6"/>
      <c r="K100" s="91"/>
    </row>
    <row r="101">
      <c r="F101" s="6"/>
      <c r="G101" s="6"/>
      <c r="H101" s="6"/>
      <c r="I101" s="6"/>
    </row>
    <row r="102">
      <c r="F102" s="6"/>
      <c r="G102" s="6"/>
      <c r="H102" s="6"/>
      <c r="I102" s="6"/>
    </row>
    <row r="103">
      <c r="F103" s="6"/>
      <c r="G103" s="6"/>
      <c r="H103" s="6"/>
      <c r="I103" s="6"/>
    </row>
    <row r="104">
      <c r="F104" s="6"/>
      <c r="G104" s="6"/>
      <c r="H104" s="6"/>
      <c r="I104" s="6"/>
    </row>
    <row r="105">
      <c r="F105" s="6"/>
      <c r="G105" s="6"/>
      <c r="H105" s="6"/>
      <c r="I105" s="6"/>
    </row>
    <row r="106">
      <c r="F106" s="6"/>
      <c r="G106" s="6"/>
      <c r="H106" s="6"/>
      <c r="I106" s="6"/>
    </row>
    <row r="107">
      <c r="F107" s="6"/>
      <c r="G107" s="6"/>
      <c r="H107" s="6"/>
      <c r="I107" s="6"/>
    </row>
    <row r="108">
      <c r="F108" s="6"/>
      <c r="G108" s="6"/>
      <c r="H108" s="6"/>
      <c r="I108" s="6"/>
    </row>
    <row r="109">
      <c r="F109" s="6"/>
      <c r="G109" s="6"/>
      <c r="H109" s="6"/>
      <c r="I109" s="6"/>
    </row>
    <row r="110">
      <c r="F110" s="6"/>
      <c r="G110" s="6"/>
      <c r="H110" s="6"/>
      <c r="I110" s="6"/>
    </row>
    <row r="111">
      <c r="F111" s="6"/>
      <c r="G111" s="6"/>
      <c r="H111" s="6"/>
      <c r="I111" s="6"/>
    </row>
    <row r="112">
      <c r="F112" s="6"/>
      <c r="G112" s="6"/>
      <c r="H112" s="6"/>
      <c r="I112" s="6"/>
    </row>
    <row r="113">
      <c r="F113" s="6"/>
      <c r="G113" s="6"/>
      <c r="H113" s="6"/>
      <c r="I113" s="6"/>
    </row>
    <row r="114">
      <c r="F114" s="6"/>
      <c r="G114" s="6"/>
      <c r="H114" s="6"/>
      <c r="I114" s="6"/>
    </row>
    <row r="115">
      <c r="F115" s="6"/>
      <c r="G115" s="6"/>
      <c r="H115" s="6"/>
      <c r="I115" s="6"/>
    </row>
    <row r="116">
      <c r="F116" s="6"/>
      <c r="G116" s="6"/>
      <c r="H116" s="6"/>
      <c r="I116" s="6"/>
    </row>
    <row r="117">
      <c r="F117" s="6"/>
      <c r="G117" s="6"/>
      <c r="H117" s="6"/>
      <c r="I117" s="6"/>
    </row>
    <row r="118">
      <c r="F118" s="6"/>
      <c r="G118" s="6"/>
      <c r="H118" s="6"/>
      <c r="I118" s="6"/>
    </row>
    <row r="119">
      <c r="F119" s="6"/>
      <c r="G119" s="6"/>
      <c r="H119" s="6"/>
      <c r="I119" s="6"/>
    </row>
    <row r="120">
      <c r="F120" s="6"/>
      <c r="G120" s="6"/>
      <c r="H120" s="6"/>
      <c r="I120" s="6"/>
    </row>
    <row r="121">
      <c r="F121" s="6"/>
      <c r="G121" s="6"/>
      <c r="H121" s="6"/>
      <c r="I121" s="6"/>
    </row>
    <row r="122">
      <c r="F122" s="6"/>
      <c r="G122" s="6"/>
      <c r="H122" s="6"/>
      <c r="I122" s="6"/>
    </row>
    <row r="123">
      <c r="F123" s="6"/>
      <c r="G123" s="6"/>
      <c r="H123" s="6"/>
      <c r="I123" s="6"/>
    </row>
    <row r="124">
      <c r="F124" s="6"/>
      <c r="G124" s="6"/>
      <c r="H124" s="6"/>
      <c r="I124" s="6"/>
    </row>
    <row r="125">
      <c r="F125" s="6"/>
      <c r="G125" s="6"/>
      <c r="H125" s="6"/>
      <c r="I125" s="6"/>
    </row>
    <row r="126">
      <c r="F126" s="6"/>
      <c r="G126" s="6"/>
      <c r="H126" s="6"/>
      <c r="I126" s="6"/>
    </row>
    <row r="127">
      <c r="F127" s="6"/>
      <c r="G127" s="6"/>
      <c r="H127" s="6"/>
      <c r="I127" s="6"/>
    </row>
    <row r="128">
      <c r="F128" s="6"/>
      <c r="G128" s="6"/>
      <c r="H128" s="6"/>
      <c r="I128" s="6"/>
    </row>
    <row r="129">
      <c r="F129" s="6"/>
      <c r="G129" s="6"/>
      <c r="H129" s="6"/>
      <c r="I129" s="6"/>
    </row>
    <row r="130">
      <c r="F130" s="6"/>
      <c r="G130" s="6"/>
      <c r="H130" s="6"/>
      <c r="I130" s="6"/>
    </row>
    <row r="131">
      <c r="F131" s="6"/>
      <c r="G131" s="6"/>
      <c r="H131" s="6"/>
      <c r="I131" s="6"/>
    </row>
    <row r="132">
      <c r="F132" s="6"/>
      <c r="G132" s="6"/>
      <c r="H132" s="6"/>
      <c r="I132" s="6"/>
    </row>
    <row r="133">
      <c r="F133" s="6"/>
      <c r="G133" s="6"/>
      <c r="H133" s="6"/>
      <c r="I133" s="6"/>
    </row>
    <row r="134">
      <c r="F134" s="6"/>
      <c r="G134" s="6"/>
      <c r="H134" s="6"/>
      <c r="I134" s="6"/>
    </row>
    <row r="135">
      <c r="F135" s="6"/>
      <c r="G135" s="6"/>
      <c r="H135" s="6"/>
      <c r="I135" s="6"/>
    </row>
    <row r="136">
      <c r="F136" s="6"/>
      <c r="G136" s="6"/>
      <c r="H136" s="6"/>
      <c r="I136" s="6"/>
    </row>
    <row r="137">
      <c r="F137" s="6"/>
      <c r="G137" s="6"/>
      <c r="H137" s="6"/>
      <c r="I137" s="6"/>
    </row>
    <row r="138">
      <c r="F138" s="6"/>
      <c r="G138" s="6"/>
      <c r="H138" s="6"/>
      <c r="I138" s="6"/>
    </row>
    <row r="139">
      <c r="F139" s="6"/>
      <c r="G139" s="6"/>
      <c r="H139" s="6"/>
      <c r="I139" s="6"/>
    </row>
    <row r="140">
      <c r="F140" s="6"/>
      <c r="G140" s="6"/>
      <c r="H140" s="6"/>
      <c r="I140" s="6"/>
    </row>
    <row r="141">
      <c r="F141" s="6"/>
      <c r="G141" s="6"/>
      <c r="H141" s="6"/>
      <c r="I141" s="6"/>
    </row>
    <row r="142">
      <c r="F142" s="6"/>
      <c r="G142" s="6"/>
      <c r="H142" s="6"/>
      <c r="I142" s="6"/>
    </row>
    <row r="143">
      <c r="F143" s="6"/>
      <c r="G143" s="6"/>
      <c r="H143" s="6"/>
      <c r="I143" s="6"/>
    </row>
    <row r="144">
      <c r="F144" s="6"/>
      <c r="G144" s="6"/>
      <c r="H144" s="6"/>
      <c r="I144" s="6"/>
    </row>
    <row r="145">
      <c r="F145" s="6"/>
      <c r="G145" s="6"/>
      <c r="H145" s="6"/>
      <c r="I145" s="6"/>
    </row>
    <row r="146">
      <c r="F146" s="6"/>
      <c r="G146" s="6"/>
      <c r="H146" s="6"/>
      <c r="I146" s="6"/>
    </row>
    <row r="147">
      <c r="F147" s="6"/>
      <c r="G147" s="6"/>
      <c r="H147" s="6"/>
      <c r="I147" s="6"/>
    </row>
    <row r="148">
      <c r="F148" s="6"/>
      <c r="G148" s="6"/>
      <c r="H148" s="6"/>
      <c r="I148" s="6"/>
    </row>
    <row r="149">
      <c r="F149" s="6"/>
      <c r="G149" s="6"/>
      <c r="H149" s="6"/>
      <c r="I149" s="6"/>
    </row>
    <row r="150">
      <c r="F150" s="6"/>
      <c r="G150" s="6"/>
      <c r="H150" s="6"/>
      <c r="I150" s="6"/>
    </row>
    <row r="151">
      <c r="F151" s="6"/>
      <c r="G151" s="6"/>
      <c r="H151" s="6"/>
      <c r="I151" s="6"/>
    </row>
    <row r="152">
      <c r="F152" s="6"/>
      <c r="G152" s="6"/>
      <c r="H152" s="6"/>
      <c r="I152" s="6"/>
    </row>
    <row r="153">
      <c r="F153" s="6"/>
      <c r="G153" s="6"/>
      <c r="H153" s="6"/>
      <c r="I153" s="6"/>
    </row>
    <row r="154">
      <c r="G154" s="6"/>
      <c r="H154" s="6"/>
      <c r="I154" s="6"/>
    </row>
    <row r="155">
      <c r="G155" s="6"/>
      <c r="H155" s="6"/>
      <c r="I155" s="6"/>
    </row>
    <row r="156">
      <c r="G156" s="6"/>
      <c r="H156" s="6"/>
      <c r="I156" s="6"/>
    </row>
    <row r="157">
      <c r="G157" s="6"/>
      <c r="H157" s="6"/>
      <c r="I157" s="6"/>
    </row>
    <row r="158">
      <c r="G158" s="6"/>
      <c r="H158" s="6"/>
      <c r="I158" s="6"/>
    </row>
    <row r="159">
      <c r="H159" s="6"/>
      <c r="I159" s="6"/>
    </row>
    <row r="160">
      <c r="H160" s="6"/>
      <c r="I160" s="6"/>
    </row>
    <row r="161">
      <c r="H161" s="6"/>
      <c r="I161" s="6"/>
    </row>
    <row r="162">
      <c r="H162" s="6"/>
      <c r="I162" s="6"/>
    </row>
    <row r="163">
      <c r="H163" s="6"/>
      <c r="I163" s="6"/>
    </row>
    <row r="164">
      <c r="H164" s="6"/>
      <c r="I164" s="6"/>
    </row>
    <row r="165">
      <c r="H165" s="6"/>
      <c r="I165" s="6"/>
    </row>
    <row r="166">
      <c r="H166" s="6"/>
      <c r="I166" s="6"/>
    </row>
    <row r="167">
      <c r="H167" s="6"/>
      <c r="I167" s="6"/>
    </row>
    <row r="168">
      <c r="H168" s="6"/>
      <c r="I168" s="6"/>
    </row>
    <row r="169">
      <c r="H169" s="6"/>
      <c r="I169" s="6"/>
    </row>
    <row r="170">
      <c r="I170" s="6"/>
    </row>
    <row r="171">
      <c r="I171" s="6"/>
    </row>
    <row r="172">
      <c r="I172" s="6"/>
    </row>
  </sheetData>
  <mergeCells count="5">
    <mergeCell ref="A1:E1"/>
    <mergeCell ref="A2:E2"/>
    <mergeCell ref="A3:D3"/>
    <mergeCell ref="A4:E4"/>
    <mergeCell ref="A26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6.38"/>
    <col customWidth="1" min="3" max="3" width="19.88"/>
    <col customWidth="1" min="4" max="4" width="13.38"/>
    <col customWidth="1" min="6" max="6" width="14.75"/>
    <col customWidth="1" min="7" max="7" width="17.25"/>
    <col customWidth="1" min="8" max="8" width="15.5"/>
  </cols>
  <sheetData>
    <row r="1">
      <c r="A1" s="1" t="s">
        <v>1</v>
      </c>
      <c r="B1" s="4"/>
      <c r="C1" s="4"/>
      <c r="D1" s="5"/>
      <c r="E1" s="6"/>
      <c r="F1" s="6"/>
      <c r="G1" s="6"/>
    </row>
    <row r="2">
      <c r="A2" s="8" t="s">
        <v>3</v>
      </c>
      <c r="B2" s="4"/>
      <c r="C2" s="4"/>
      <c r="D2" s="4"/>
      <c r="E2" s="9"/>
      <c r="F2" s="9"/>
      <c r="G2" s="9"/>
      <c r="H2" s="9"/>
      <c r="I2" s="9"/>
      <c r="J2" s="9"/>
    </row>
    <row r="3">
      <c r="A3" s="12" t="s">
        <v>7</v>
      </c>
      <c r="B3" s="4"/>
      <c r="C3" s="4"/>
      <c r="D3" s="5"/>
      <c r="E3" s="9"/>
      <c r="F3" s="9"/>
      <c r="G3" s="9"/>
      <c r="H3" s="9"/>
      <c r="I3" s="9"/>
      <c r="J3" s="9"/>
    </row>
    <row r="4">
      <c r="A4" s="13" t="s">
        <v>8</v>
      </c>
      <c r="B4" s="4"/>
      <c r="C4" s="4"/>
      <c r="D4" s="14">
        <v>1540.0</v>
      </c>
      <c r="E4" s="9"/>
      <c r="F4" s="9"/>
      <c r="G4" s="9"/>
      <c r="H4" s="9"/>
      <c r="I4" s="9"/>
      <c r="J4" s="9"/>
    </row>
    <row r="5">
      <c r="A5" s="15" t="s">
        <v>9</v>
      </c>
      <c r="B5" s="4"/>
      <c r="C5" s="4"/>
      <c r="D5" s="5"/>
      <c r="E5" s="9"/>
      <c r="F5" s="9"/>
      <c r="G5" s="9"/>
      <c r="H5" s="9"/>
      <c r="I5" s="9"/>
      <c r="J5" s="9"/>
    </row>
    <row r="6">
      <c r="A6" s="18" t="s">
        <v>10</v>
      </c>
      <c r="B6" s="21" t="s">
        <v>12</v>
      </c>
      <c r="C6" s="23" t="s">
        <v>13</v>
      </c>
      <c r="D6" s="23" t="s">
        <v>14</v>
      </c>
      <c r="E6" s="9"/>
      <c r="F6" s="9"/>
      <c r="G6" s="9"/>
      <c r="H6" s="9"/>
      <c r="I6" s="9"/>
      <c r="J6" s="9"/>
    </row>
    <row r="7">
      <c r="A7" s="26" t="s">
        <v>16</v>
      </c>
      <c r="B7" s="29" t="s">
        <v>17</v>
      </c>
      <c r="C7" s="32">
        <v>790.0</v>
      </c>
      <c r="D7" s="40">
        <f t="shared" ref="D7:D8" si="1">C7*$D$4</f>
        <v>1216600</v>
      </c>
      <c r="E7" s="9"/>
      <c r="F7" s="9"/>
      <c r="G7" s="9"/>
      <c r="H7" s="9"/>
      <c r="I7" s="9"/>
      <c r="J7" s="9"/>
    </row>
    <row r="8">
      <c r="A8" s="29" t="s">
        <v>22</v>
      </c>
      <c r="B8" s="29" t="s">
        <v>23</v>
      </c>
      <c r="C8" s="32">
        <v>1050.0</v>
      </c>
      <c r="D8" s="40">
        <f t="shared" si="1"/>
        <v>1617000</v>
      </c>
    </row>
    <row r="9">
      <c r="A9" s="29" t="s">
        <v>24</v>
      </c>
      <c r="B9" s="29" t="s">
        <v>26</v>
      </c>
      <c r="C9" s="32">
        <v>1260.0</v>
      </c>
      <c r="D9" s="40">
        <f>C9*D4</f>
        <v>1940400</v>
      </c>
      <c r="E9" s="44" t="s">
        <v>27</v>
      </c>
    </row>
    <row r="10">
      <c r="A10" s="29" t="s">
        <v>29</v>
      </c>
      <c r="B10" s="29" t="s">
        <v>31</v>
      </c>
      <c r="C10" s="32">
        <v>1370.0</v>
      </c>
      <c r="D10" s="40">
        <f>C10*D4</f>
        <v>2109800</v>
      </c>
    </row>
    <row r="11">
      <c r="A11" s="29" t="s">
        <v>32</v>
      </c>
      <c r="B11" s="29" t="s">
        <v>33</v>
      </c>
      <c r="C11" s="32">
        <v>1490.0</v>
      </c>
      <c r="D11" s="40">
        <f>C11*D4</f>
        <v>2294600</v>
      </c>
    </row>
    <row r="12">
      <c r="A12" s="29" t="s">
        <v>37</v>
      </c>
      <c r="B12" s="29" t="s">
        <v>33</v>
      </c>
      <c r="C12" s="32">
        <v>1670.0</v>
      </c>
      <c r="D12" s="40">
        <f>C12*D4</f>
        <v>2571800</v>
      </c>
    </row>
    <row r="13">
      <c r="A13" s="51" t="s">
        <v>40</v>
      </c>
      <c r="B13" s="4"/>
      <c r="C13" s="4"/>
      <c r="D13" s="5"/>
    </row>
    <row r="14">
      <c r="A14" s="52" t="s">
        <v>44</v>
      </c>
      <c r="B14" s="52" t="s">
        <v>46</v>
      </c>
      <c r="C14" s="55">
        <v>620.0</v>
      </c>
      <c r="D14" s="40">
        <f>C14*D4</f>
        <v>954800</v>
      </c>
    </row>
    <row r="15">
      <c r="A15" s="51" t="s">
        <v>48</v>
      </c>
      <c r="B15" s="4"/>
      <c r="C15" s="4"/>
      <c r="D15" s="5"/>
    </row>
    <row r="16">
      <c r="A16" s="61" t="s">
        <v>51</v>
      </c>
      <c r="B16" s="62"/>
      <c r="C16" s="63">
        <v>290.0</v>
      </c>
      <c r="D16" s="40">
        <f>C16*D4</f>
        <v>446600</v>
      </c>
    </row>
    <row r="17">
      <c r="A17" s="65" t="s">
        <v>56</v>
      </c>
      <c r="B17" s="67"/>
      <c r="C17" s="69">
        <v>58.0</v>
      </c>
      <c r="D17" s="40">
        <f>C17*D4</f>
        <v>89320</v>
      </c>
      <c r="E17" s="76" t="s">
        <v>60</v>
      </c>
    </row>
    <row r="18">
      <c r="A18" s="79" t="s">
        <v>63</v>
      </c>
      <c r="B18" s="81"/>
      <c r="C18" s="82">
        <v>180.0</v>
      </c>
      <c r="D18" s="40">
        <f>C18*D4</f>
        <v>277200</v>
      </c>
    </row>
    <row r="19">
      <c r="A19" s="85" t="s">
        <v>65</v>
      </c>
      <c r="B19" s="4"/>
      <c r="C19" s="4"/>
      <c r="D19" s="5"/>
    </row>
  </sheetData>
  <mergeCells count="12">
    <mergeCell ref="A16:B16"/>
    <mergeCell ref="A17:B17"/>
    <mergeCell ref="E17:F17"/>
    <mergeCell ref="A18:B18"/>
    <mergeCell ref="A19:D19"/>
    <mergeCell ref="A1:D1"/>
    <mergeCell ref="A2:D2"/>
    <mergeCell ref="A3:D3"/>
    <mergeCell ref="A4:C4"/>
    <mergeCell ref="A5:D5"/>
    <mergeCell ref="A13:D13"/>
    <mergeCell ref="A15:D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4" max="4" width="17.38"/>
    <col customWidth="1" min="5" max="5" width="16.88"/>
  </cols>
  <sheetData>
    <row r="1">
      <c r="A1" s="2" t="s">
        <v>0</v>
      </c>
      <c r="B1" s="4"/>
      <c r="C1" s="4"/>
      <c r="D1" s="4"/>
      <c r="E1" s="5"/>
    </row>
    <row r="2">
      <c r="A2" s="8" t="s">
        <v>4</v>
      </c>
      <c r="B2" s="4"/>
      <c r="C2" s="4"/>
      <c r="D2" s="4"/>
      <c r="E2" s="5"/>
    </row>
    <row r="3">
      <c r="A3" s="10" t="s">
        <v>6</v>
      </c>
      <c r="B3" s="4"/>
      <c r="C3" s="4"/>
      <c r="D3" s="4"/>
      <c r="E3" s="5"/>
      <c r="F3" s="11"/>
    </row>
    <row r="4">
      <c r="A4" s="13" t="s">
        <v>8</v>
      </c>
      <c r="B4" s="4"/>
      <c r="C4" s="4"/>
      <c r="D4" s="5"/>
      <c r="E4" s="14">
        <v>1540.0</v>
      </c>
      <c r="F4" s="11"/>
    </row>
    <row r="5">
      <c r="A5" s="16" t="s">
        <v>9</v>
      </c>
      <c r="B5" s="4"/>
      <c r="C5" s="4"/>
      <c r="D5" s="4"/>
      <c r="E5" s="5"/>
    </row>
    <row r="6">
      <c r="A6" s="19" t="s">
        <v>10</v>
      </c>
      <c r="B6" s="22" t="s">
        <v>11</v>
      </c>
      <c r="C6" s="24" t="s">
        <v>12</v>
      </c>
      <c r="D6" s="23" t="s">
        <v>13</v>
      </c>
      <c r="E6" s="30" t="s">
        <v>14</v>
      </c>
      <c r="F6" s="33"/>
      <c r="G6" s="34"/>
      <c r="H6" s="34"/>
    </row>
    <row r="7">
      <c r="A7" s="25" t="s">
        <v>19</v>
      </c>
      <c r="B7" s="37">
        <v>0.84</v>
      </c>
      <c r="C7" s="38" t="s">
        <v>21</v>
      </c>
      <c r="D7" s="39">
        <v>460.0</v>
      </c>
      <c r="E7" s="40">
        <f>D7*E4</f>
        <v>708400</v>
      </c>
      <c r="F7" s="41" t="s">
        <v>25</v>
      </c>
      <c r="G7" s="42"/>
      <c r="H7" s="43"/>
    </row>
    <row r="8">
      <c r="A8" s="28" t="s">
        <v>28</v>
      </c>
      <c r="B8" s="27">
        <v>1.0</v>
      </c>
      <c r="C8" s="28" t="s">
        <v>26</v>
      </c>
      <c r="D8" s="45">
        <v>600.0</v>
      </c>
      <c r="E8" s="39">
        <f>D8*E4</f>
        <v>924000</v>
      </c>
      <c r="F8" s="49" t="s">
        <v>35</v>
      </c>
      <c r="G8" s="4"/>
      <c r="H8" s="4"/>
      <c r="I8" s="5"/>
    </row>
    <row r="9">
      <c r="A9" s="28" t="s">
        <v>41</v>
      </c>
      <c r="B9" s="27">
        <v>0.85</v>
      </c>
      <c r="C9" s="28" t="s">
        <v>26</v>
      </c>
      <c r="D9" s="45">
        <v>700.0</v>
      </c>
      <c r="E9" s="40">
        <f>D9*E4</f>
        <v>1078000</v>
      </c>
      <c r="F9" s="53" t="s">
        <v>45</v>
      </c>
      <c r="G9" s="54"/>
      <c r="H9" s="6"/>
    </row>
    <row r="10">
      <c r="A10" s="56" t="s">
        <v>41</v>
      </c>
      <c r="B10" s="57">
        <v>0.86</v>
      </c>
      <c r="C10" s="28" t="s">
        <v>26</v>
      </c>
      <c r="D10" s="45">
        <v>710.0</v>
      </c>
      <c r="E10" s="40">
        <f>D10*E4</f>
        <v>1093400</v>
      </c>
      <c r="F10" s="58" t="s">
        <v>45</v>
      </c>
      <c r="G10" s="5"/>
      <c r="H10" s="60"/>
    </row>
    <row r="11">
      <c r="A11" s="28" t="s">
        <v>41</v>
      </c>
      <c r="B11" s="27">
        <v>1.0</v>
      </c>
      <c r="C11" s="28" t="s">
        <v>49</v>
      </c>
      <c r="D11" s="45">
        <v>730.0</v>
      </c>
      <c r="E11" s="40">
        <f>D11*E4</f>
        <v>1124200</v>
      </c>
      <c r="F11" s="64" t="s">
        <v>52</v>
      </c>
      <c r="G11" s="4"/>
      <c r="H11" s="5"/>
    </row>
    <row r="12">
      <c r="A12" s="28" t="s">
        <v>54</v>
      </c>
      <c r="B12" s="27">
        <v>0.9</v>
      </c>
      <c r="C12" s="28" t="s">
        <v>55</v>
      </c>
      <c r="D12" s="45">
        <v>790.0</v>
      </c>
      <c r="E12" s="40">
        <f>D12*E4</f>
        <v>1216600</v>
      </c>
      <c r="F12" s="66" t="s">
        <v>58</v>
      </c>
      <c r="G12" s="68"/>
      <c r="H12" s="6"/>
    </row>
    <row r="13">
      <c r="A13" s="56" t="s">
        <v>59</v>
      </c>
      <c r="B13" s="71">
        <v>0.92</v>
      </c>
      <c r="C13" s="56" t="s">
        <v>33</v>
      </c>
      <c r="D13" s="45">
        <v>920.0</v>
      </c>
      <c r="E13" s="40">
        <f>D13*E4</f>
        <v>1416800</v>
      </c>
      <c r="F13" s="75" t="s">
        <v>61</v>
      </c>
      <c r="G13" s="68"/>
    </row>
    <row r="14">
      <c r="A14" s="78" t="s">
        <v>62</v>
      </c>
      <c r="F14" s="75"/>
      <c r="G14" s="80"/>
    </row>
    <row r="15">
      <c r="E15" s="6"/>
    </row>
  </sheetData>
  <mergeCells count="13">
    <mergeCell ref="F9:G9"/>
    <mergeCell ref="F10:G10"/>
    <mergeCell ref="F11:H11"/>
    <mergeCell ref="F12:G12"/>
    <mergeCell ref="F13:G13"/>
    <mergeCell ref="A14:E14"/>
    <mergeCell ref="A1:E1"/>
    <mergeCell ref="A2:E2"/>
    <mergeCell ref="A3:E3"/>
    <mergeCell ref="A4:D4"/>
    <mergeCell ref="A5:E5"/>
    <mergeCell ref="F7:H7"/>
    <mergeCell ref="F8:I8"/>
  </mergeCells>
  <drawing r:id="rId1"/>
</worksheet>
</file>